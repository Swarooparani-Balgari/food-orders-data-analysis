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6FD3CD4D-2509-446E-B73A-9FD10CE9219E}" xr6:coauthVersionLast="47" xr6:coauthVersionMax="47" xr10:uidLastSave="{00000000-0000-0000-0000-000000000000}"/>
  <bookViews>
    <workbookView xWindow="-108" yWindow="-108" windowWidth="23256" windowHeight="12456" firstSheet="2" activeTab="6" xr2:uid="{0F493B68-AF74-4FE3-8552-ED7713121098}"/>
  </bookViews>
  <sheets>
    <sheet name="Total Amount by Restaurant" sheetId="2" r:id="rId1"/>
    <sheet name="City with Highest Total Amount" sheetId="3" r:id="rId2"/>
    <sheet name="Total Amount by Category" sheetId="5" r:id="rId3"/>
    <sheet name="Orders by Category" sheetId="6" r:id="rId4"/>
    <sheet name="Orders by City" sheetId="7" r:id="rId5"/>
    <sheet name="Dataset" sheetId="1" r:id="rId6"/>
    <sheet name="Sheet1" sheetId="8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/>
  <c r="B10" i="8"/>
  <c r="E8" i="8"/>
  <c r="B8" i="8"/>
  <c r="E6" i="8"/>
  <c r="B6" i="8"/>
  <c r="E4" i="8"/>
  <c r="B4" i="8"/>
  <c r="E2" i="8"/>
  <c r="B11" i="7"/>
  <c r="B11" i="6"/>
  <c r="B12" i="5"/>
  <c r="B11" i="3"/>
  <c r="B11" i="2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<sst xmlns="http://schemas.openxmlformats.org/spreadsheetml/2006/main" count="99" uniqueCount="44">
  <si>
    <t>OrderID</t>
  </si>
  <si>
    <t>OrderDate</t>
  </si>
  <si>
    <t>Customer</t>
  </si>
  <si>
    <t>City</t>
  </si>
  <si>
    <t>Restaurant</t>
  </si>
  <si>
    <t>Category</t>
  </si>
  <si>
    <t>Items</t>
  </si>
  <si>
    <t>ItemPrice</t>
  </si>
  <si>
    <t>DeliveryFee</t>
  </si>
  <si>
    <t>Rahul</t>
  </si>
  <si>
    <t>Delhi</t>
  </si>
  <si>
    <t>Spice Hub</t>
  </si>
  <si>
    <t>Indian</t>
  </si>
  <si>
    <t>Neha</t>
  </si>
  <si>
    <t>Mumbai</t>
  </si>
  <si>
    <t>Pizza Town</t>
  </si>
  <si>
    <t>Italian</t>
  </si>
  <si>
    <t>Amit</t>
  </si>
  <si>
    <t>Bangalore</t>
  </si>
  <si>
    <t>Burger Point</t>
  </si>
  <si>
    <t>Fast Food</t>
  </si>
  <si>
    <t>Priya</t>
  </si>
  <si>
    <t>Karan</t>
  </si>
  <si>
    <t>Hyderabad</t>
  </si>
  <si>
    <t>Sushi World</t>
  </si>
  <si>
    <t>Japanese</t>
  </si>
  <si>
    <t>Total Amount</t>
  </si>
  <si>
    <t>Amount</t>
  </si>
  <si>
    <t>Total Delivery Fee</t>
  </si>
  <si>
    <t>Total Items</t>
  </si>
  <si>
    <t>Total Orders</t>
  </si>
  <si>
    <t>Total Customers</t>
  </si>
  <si>
    <t>Total Restaurants</t>
  </si>
  <si>
    <t>Total Cities</t>
  </si>
  <si>
    <t>Total Categories</t>
  </si>
  <si>
    <t>Total Ordered Dates</t>
  </si>
  <si>
    <t>Grand Total</t>
  </si>
  <si>
    <t>Sum of Total Amount</t>
  </si>
  <si>
    <t>Restaurant with Highest Total Amount</t>
  </si>
  <si>
    <t>City with Highest Total Amount</t>
  </si>
  <si>
    <t>Category with Highest Total Amount</t>
  </si>
  <si>
    <t>Sum of Items</t>
  </si>
  <si>
    <t>Category with Highest No. of Orders</t>
  </si>
  <si>
    <t>City with Highest No.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</si>
</sst>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4.xlsx]Total Amount by Restaurant!PivotTable1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Amount by Restaurant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Amount by Restaurant'!$B$3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Amount by Restaurant'!$A$4:$A$8</c:f>
              <c:strCache>
                <c:ptCount val="4"/>
                <c:pt idx="0">
                  <c:v>Pizza Town</c:v>
                </c:pt>
                <c:pt idx="1">
                  <c:v>Sushi World</c:v>
                </c:pt>
                <c:pt idx="2">
                  <c:v>Spice Hub</c:v>
                </c:pt>
                <c:pt idx="3">
                  <c:v>Burger Point</c:v>
                </c:pt>
              </c:strCache>
            </c:strRef>
          </c:cat>
          <c:val>
            <c:numRef>
              <c:f>'Total Amount by Restaurant'!$B$4:$B$8</c:f>
              <c:numCache>
                <c:formatCode>General</c:formatCode>
                <c:ptCount val="4"/>
                <c:pt idx="0">
                  <c:v>2300</c:v>
                </c:pt>
                <c:pt idx="1">
                  <c:v>2270</c:v>
                </c:pt>
                <c:pt idx="2">
                  <c:v>2180</c:v>
                </c:pt>
                <c:pt idx="3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7-44C1-A23A-44E6C7DED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061551"/>
        <c:axId val="95062511"/>
      </c:barChart>
      <c:catAx>
        <c:axId val="9506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2511"/>
        <c:crosses val="autoZero"/>
        <c:auto val="1"/>
        <c:lblAlgn val="ctr"/>
        <c:lblOffset val="100"/>
        <c:noMultiLvlLbl val="0"/>
      </c:catAx>
      <c:valAx>
        <c:axId val="9506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4.xlsx]City with Highest Total Amount!PivotTable2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Amount by City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with Highest Total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with Highest Total Amount'!$A$4:$A$8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'City with Highest Total Amount'!$B$4:$B$8</c:f>
              <c:numCache>
                <c:formatCode>General</c:formatCode>
                <c:ptCount val="4"/>
                <c:pt idx="0">
                  <c:v>1120</c:v>
                </c:pt>
                <c:pt idx="1">
                  <c:v>2180</c:v>
                </c:pt>
                <c:pt idx="2">
                  <c:v>2270</c:v>
                </c:pt>
                <c:pt idx="3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1-4E8B-86B7-9A52EC836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021231"/>
        <c:axId val="95023151"/>
      </c:barChart>
      <c:catAx>
        <c:axId val="9502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23151"/>
        <c:crosses val="autoZero"/>
        <c:auto val="1"/>
        <c:lblAlgn val="ctr"/>
        <c:lblOffset val="100"/>
        <c:noMultiLvlLbl val="0"/>
      </c:catAx>
      <c:valAx>
        <c:axId val="9502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2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4.xlsx]Total Amount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Amount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Amount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Amount by Category'!$A$4:$A$8</c:f>
              <c:strCache>
                <c:ptCount val="4"/>
                <c:pt idx="0">
                  <c:v>Italian</c:v>
                </c:pt>
                <c:pt idx="1">
                  <c:v>Japanese</c:v>
                </c:pt>
                <c:pt idx="2">
                  <c:v>Indian</c:v>
                </c:pt>
                <c:pt idx="3">
                  <c:v>Fast Food</c:v>
                </c:pt>
              </c:strCache>
            </c:strRef>
          </c:cat>
          <c:val>
            <c:numRef>
              <c:f>'Total Amount by Category'!$B$4:$B$8</c:f>
              <c:numCache>
                <c:formatCode>General</c:formatCode>
                <c:ptCount val="4"/>
                <c:pt idx="0">
                  <c:v>2300</c:v>
                </c:pt>
                <c:pt idx="1">
                  <c:v>2270</c:v>
                </c:pt>
                <c:pt idx="2">
                  <c:v>2180</c:v>
                </c:pt>
                <c:pt idx="3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F-456F-9D42-079430BF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022671"/>
        <c:axId val="95014511"/>
      </c:barChart>
      <c:catAx>
        <c:axId val="9502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4511"/>
        <c:crosses val="autoZero"/>
        <c:auto val="1"/>
        <c:lblAlgn val="ctr"/>
        <c:lblOffset val="100"/>
        <c:noMultiLvlLbl val="0"/>
      </c:catAx>
      <c:valAx>
        <c:axId val="950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2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4.xlsx]Orders by 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Orders</a:t>
            </a:r>
            <a:r>
              <a:rPr lang="en-US" b="1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4-43FF-9459-EAA4F345B2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4-43FF-9459-EAA4F345B2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64-43FF-9459-EAA4F345B2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64-43FF-9459-EAA4F345B20C}"/>
              </c:ext>
            </c:extLst>
          </c:dPt>
          <c:cat>
            <c:strRef>
              <c:f>'Orders by Category'!$A$4:$A$8</c:f>
              <c:strCache>
                <c:ptCount val="4"/>
                <c:pt idx="0">
                  <c:v>Indian</c:v>
                </c:pt>
                <c:pt idx="1">
                  <c:v>Fast Food</c:v>
                </c:pt>
                <c:pt idx="2">
                  <c:v>Italian</c:v>
                </c:pt>
                <c:pt idx="3">
                  <c:v>Japanese</c:v>
                </c:pt>
              </c:strCache>
            </c:strRef>
          </c:cat>
          <c:val>
            <c:numRef>
              <c:f>'Orders by Category'!$B$4:$B$8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0B-4D17-AF19-A2018003A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4.xlsx]Orders by City!PivotTable6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FE-4498-AB86-9561AC10D8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FE-4498-AB86-9561AC10D8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FE-4498-AB86-9561AC10D8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FE-4498-AB86-9561AC10D8E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'Orders by City'!$A$4:$A$8</c:f>
              <c:strCache>
                <c:ptCount val="4"/>
                <c:pt idx="0">
                  <c:v>Delhi</c:v>
                </c:pt>
                <c:pt idx="1">
                  <c:v>Bangalore</c:v>
                </c:pt>
                <c:pt idx="2">
                  <c:v>Mumbai</c:v>
                </c:pt>
                <c:pt idx="3">
                  <c:v>Hyderabad</c:v>
                </c:pt>
              </c:strCache>
            </c:strRef>
          </c:cat>
          <c:val>
            <c:numRef>
              <c:f>'Orders by City'!$B$4:$B$8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8-4F45-9A4B-4883797DBB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148590</xdr:rowOff>
    </xdr:from>
    <xdr:to>
      <xdr:col>10</xdr:col>
      <xdr:colOff>335280</xdr:colOff>
      <xdr:row>18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BEA50-63E2-E05A-E582-0C929414B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2</xdr:row>
      <xdr:rowOff>179070</xdr:rowOff>
    </xdr:from>
    <xdr:to>
      <xdr:col>12</xdr:col>
      <xdr:colOff>281940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D69AF-708D-12D7-B4EC-33F321980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49530</xdr:rowOff>
    </xdr:from>
    <xdr:to>
      <xdr:col>11</xdr:col>
      <xdr:colOff>152400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8E853-7875-070E-39C0-F82091537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64770</xdr:rowOff>
    </xdr:from>
    <xdr:to>
      <xdr:col>11</xdr:col>
      <xdr:colOff>335280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64C29-EDAD-B2AE-D6B2-35AF601CA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2</xdr:row>
      <xdr:rowOff>102870</xdr:rowOff>
    </xdr:from>
    <xdr:to>
      <xdr:col>11</xdr:col>
      <xdr:colOff>274320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548E8-A17F-317C-2881-3933F023F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9.412295717593" createdVersion="8" refreshedVersion="8" minRefreshableVersion="3" recordCount="10" xr:uid="{9FAC24AC-24EB-42A7-BF67-6D0D72DFC83D}">
  <cacheSource type="worksheet">
    <worksheetSource ref="A1:J11" sheet="Dataset"/>
  </cacheSource>
  <cacheFields count="10">
    <cacheField name="OrderID" numFmtId="0">
      <sharedItems containsSemiMixedTypes="0" containsString="0" containsNumber="1" containsInteger="1" minValue="2001" maxValue="2010" count="10">
        <n v="2001"/>
        <n v="2002"/>
        <n v="2003"/>
        <n v="2004"/>
        <n v="2005"/>
        <n v="2006"/>
        <n v="2007"/>
        <n v="2008"/>
        <n v="2009"/>
        <n v="2010"/>
      </sharedItems>
    </cacheField>
    <cacheField name="OrderDate" numFmtId="14">
      <sharedItems containsSemiMixedTypes="0" containsNonDate="0" containsDate="1" containsString="0" minDate="2026-02-01T00:00:00" maxDate="2026-02-07T00:00:00"/>
    </cacheField>
    <cacheField name="Customer" numFmtId="0">
      <sharedItems/>
    </cacheField>
    <cacheField name="City" numFmtId="0">
      <sharedItems count="4">
        <s v="Delhi"/>
        <s v="Mumbai"/>
        <s v="Bangalore"/>
        <s v="Hyderabad"/>
      </sharedItems>
    </cacheField>
    <cacheField name="Restaurant" numFmtId="0">
      <sharedItems count="4">
        <s v="Spice Hub"/>
        <s v="Pizza Town"/>
        <s v="Burger Point"/>
        <s v="Sushi World"/>
      </sharedItems>
    </cacheField>
    <cacheField name="Category" numFmtId="0">
      <sharedItems count="4">
        <s v="Indian"/>
        <s v="Italian"/>
        <s v="Fast Food"/>
        <s v="Japanese"/>
      </sharedItems>
    </cacheField>
    <cacheField name="Items" numFmtId="0">
      <sharedItems containsSemiMixedTypes="0" containsString="0" containsNumber="1" containsInteger="1" minValue="1" maxValue="3"/>
    </cacheField>
    <cacheField name="ItemPrice" numFmtId="0">
      <sharedItems containsSemiMixedTypes="0" containsString="0" containsNumber="1" containsInteger="1" minValue="250" maxValue="750"/>
    </cacheField>
    <cacheField name="DeliveryFee" numFmtId="0">
      <sharedItems containsSemiMixedTypes="0" containsString="0" containsNumber="1" containsInteger="1" minValue="35" maxValue="60"/>
    </cacheField>
    <cacheField name="Total Amount" numFmtId="0">
      <sharedItems containsSemiMixedTypes="0" containsString="0" containsNumber="1" containsInteger="1" minValue="335" maxValue="1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6-02-01T00:00:00"/>
    <s v="Rahul"/>
    <x v="0"/>
    <x v="0"/>
    <x v="0"/>
    <n v="2"/>
    <n v="350"/>
    <n v="40"/>
    <n v="740"/>
  </r>
  <r>
    <x v="1"/>
    <d v="2026-02-01T00:00:00"/>
    <s v="Neha"/>
    <x v="1"/>
    <x v="1"/>
    <x v="1"/>
    <n v="1"/>
    <n v="550"/>
    <n v="50"/>
    <n v="600"/>
  </r>
  <r>
    <x v="2"/>
    <d v="2026-02-02T00:00:00"/>
    <s v="Amit"/>
    <x v="2"/>
    <x v="2"/>
    <x v="2"/>
    <n v="3"/>
    <n v="250"/>
    <n v="35"/>
    <n v="785"/>
  </r>
  <r>
    <x v="3"/>
    <d v="2026-02-02T00:00:00"/>
    <s v="Priya"/>
    <x v="0"/>
    <x v="0"/>
    <x v="0"/>
    <n v="1"/>
    <n v="400"/>
    <n v="40"/>
    <n v="440"/>
  </r>
  <r>
    <x v="4"/>
    <d v="2026-02-03T00:00:00"/>
    <s v="Karan"/>
    <x v="3"/>
    <x v="3"/>
    <x v="3"/>
    <n v="2"/>
    <n v="700"/>
    <n v="60"/>
    <n v="1460"/>
  </r>
  <r>
    <x v="5"/>
    <d v="2026-02-03T00:00:00"/>
    <s v="Neha"/>
    <x v="1"/>
    <x v="1"/>
    <x v="1"/>
    <n v="2"/>
    <n v="500"/>
    <n v="50"/>
    <n v="1050"/>
  </r>
  <r>
    <x v="6"/>
    <d v="2026-02-04T00:00:00"/>
    <s v="Rahul"/>
    <x v="2"/>
    <x v="2"/>
    <x v="2"/>
    <n v="1"/>
    <n v="300"/>
    <n v="35"/>
    <n v="335"/>
  </r>
  <r>
    <x v="7"/>
    <d v="2026-02-05T00:00:00"/>
    <s v="Priya"/>
    <x v="3"/>
    <x v="3"/>
    <x v="3"/>
    <n v="1"/>
    <n v="750"/>
    <n v="60"/>
    <n v="810"/>
  </r>
  <r>
    <x v="8"/>
    <d v="2026-02-05T00:00:00"/>
    <s v="Amit"/>
    <x v="0"/>
    <x v="0"/>
    <x v="0"/>
    <n v="3"/>
    <n v="320"/>
    <n v="40"/>
    <n v="1000"/>
  </r>
  <r>
    <x v="9"/>
    <d v="2026-02-06T00:00:00"/>
    <s v="Karan"/>
    <x v="1"/>
    <x v="1"/>
    <x v="1"/>
    <n v="1"/>
    <n v="600"/>
    <n v="50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F9AF1-0DDE-44E6-8106-EBCEBA0A3B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staurant">
  <location ref="A3:B8" firstHeaderRow="1" firstDataRow="1" firstDataCol="1"/>
  <pivotFields count="10">
    <pivotField showAll="0"/>
    <pivotField numFmtId="14"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 Amount" fld="9" baseField="0" baseItem="0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F0DBF-5815-40DC-928E-F1A89E424C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8" firstHeaderRow="1" firstDataRow="1" firstDataCol="1"/>
  <pivotFields count="10">
    <pivotField showAll="0"/>
    <pivotField numFmtId="14" showAll="0"/>
    <pivotField showAll="0"/>
    <pivotField axis="axisRow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9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9AFD3-B193-42E1-8420-1E20CD06B0F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8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5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Total Amount" fld="9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30010-C522-4CDA-B35A-6627D35AAD1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8" firstHeaderRow="1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5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Items" fld="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512AB-D458-4ACF-BE74-6DFCBCA0A6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A3:B8" firstHeaderRow="1" firstDataRow="1" firstDataCol="1"/>
  <pivotFields count="10">
    <pivotField showAll="0"/>
    <pivotField numFmtId="14"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Items" fld="6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9C47-958D-4484-B2E1-66DC6F305460}">
  <dimension ref="A3:B11"/>
  <sheetViews>
    <sheetView workbookViewId="0">
      <selection activeCell="D24" sqref="D24"/>
    </sheetView>
  </sheetViews>
  <sheetFormatPr defaultRowHeight="14.4" x14ac:dyDescent="0.3"/>
  <cols>
    <col min="1" max="1" width="32.44140625" style="5" bestFit="1" customWidth="1"/>
    <col min="2" max="2" width="19.21875" style="5" bestFit="1" customWidth="1"/>
  </cols>
  <sheetData>
    <row r="3" spans="1:2" x14ac:dyDescent="0.3">
      <c r="A3" s="6" t="s">
        <v>4</v>
      </c>
      <c r="B3" s="5" t="s">
        <v>37</v>
      </c>
    </row>
    <row r="4" spans="1:2" x14ac:dyDescent="0.3">
      <c r="A4" s="5" t="s">
        <v>15</v>
      </c>
      <c r="B4" s="5">
        <v>2300</v>
      </c>
    </row>
    <row r="5" spans="1:2" x14ac:dyDescent="0.3">
      <c r="A5" s="5" t="s">
        <v>24</v>
      </c>
      <c r="B5" s="5">
        <v>2270</v>
      </c>
    </row>
    <row r="6" spans="1:2" x14ac:dyDescent="0.3">
      <c r="A6" s="5" t="s">
        <v>11</v>
      </c>
      <c r="B6" s="5">
        <v>2180</v>
      </c>
    </row>
    <row r="7" spans="1:2" x14ac:dyDescent="0.3">
      <c r="A7" s="5" t="s">
        <v>19</v>
      </c>
      <c r="B7" s="5">
        <v>1120</v>
      </c>
    </row>
    <row r="8" spans="1:2" x14ac:dyDescent="0.3">
      <c r="A8" s="5" t="s">
        <v>36</v>
      </c>
      <c r="B8" s="5">
        <v>7870</v>
      </c>
    </row>
    <row r="11" spans="1:2" x14ac:dyDescent="0.3">
      <c r="A11" s="7" t="s">
        <v>38</v>
      </c>
      <c r="B11" s="7" t="str">
        <f>INDEX(A4:A7,MATCH(MAX(B4:B7),B4:B7,0))</f>
        <v>Pizza Town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7A55-1E93-4A31-BD93-19E571A2B19B}">
  <dimension ref="A3:B11"/>
  <sheetViews>
    <sheetView workbookViewId="0">
      <selection activeCell="E22" sqref="E22"/>
    </sheetView>
  </sheetViews>
  <sheetFormatPr defaultRowHeight="14.4" x14ac:dyDescent="0.3"/>
  <cols>
    <col min="1" max="1" width="26.5546875" style="5" bestFit="1" customWidth="1"/>
    <col min="2" max="2" width="19.21875" style="5" bestFit="1" customWidth="1"/>
    <col min="3" max="16384" width="8.88671875" style="5"/>
  </cols>
  <sheetData>
    <row r="3" spans="1:2" x14ac:dyDescent="0.3">
      <c r="A3" s="6" t="s">
        <v>3</v>
      </c>
      <c r="B3" s="5" t="s">
        <v>37</v>
      </c>
    </row>
    <row r="4" spans="1:2" x14ac:dyDescent="0.3">
      <c r="A4" s="5" t="s">
        <v>18</v>
      </c>
      <c r="B4" s="5">
        <v>1120</v>
      </c>
    </row>
    <row r="5" spans="1:2" x14ac:dyDescent="0.3">
      <c r="A5" s="5" t="s">
        <v>10</v>
      </c>
      <c r="B5" s="5">
        <v>2180</v>
      </c>
    </row>
    <row r="6" spans="1:2" x14ac:dyDescent="0.3">
      <c r="A6" s="5" t="s">
        <v>23</v>
      </c>
      <c r="B6" s="5">
        <v>2270</v>
      </c>
    </row>
    <row r="7" spans="1:2" x14ac:dyDescent="0.3">
      <c r="A7" s="5" t="s">
        <v>14</v>
      </c>
      <c r="B7" s="5">
        <v>2300</v>
      </c>
    </row>
    <row r="8" spans="1:2" x14ac:dyDescent="0.3">
      <c r="A8" s="5" t="s">
        <v>36</v>
      </c>
      <c r="B8" s="5">
        <v>7870</v>
      </c>
    </row>
    <row r="11" spans="1:2" x14ac:dyDescent="0.3">
      <c r="A11" s="5" t="s">
        <v>39</v>
      </c>
      <c r="B11" s="5" t="str">
        <f>INDEX(A4:A7,MATCH(MAX(B4:B7),B4:B7,0))</f>
        <v>Mumbai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4779-CBEA-4716-A3C3-509D13061E50}">
  <dimension ref="A3:B12"/>
  <sheetViews>
    <sheetView workbookViewId="0">
      <selection activeCell="C15" sqref="C15"/>
    </sheetView>
  </sheetViews>
  <sheetFormatPr defaultRowHeight="14.4" x14ac:dyDescent="0.3"/>
  <cols>
    <col min="1" max="1" width="30.88671875" style="5" bestFit="1" customWidth="1"/>
    <col min="2" max="2" width="19.21875" style="5" bestFit="1" customWidth="1"/>
    <col min="3" max="16384" width="8.88671875" style="5"/>
  </cols>
  <sheetData>
    <row r="3" spans="1:2" x14ac:dyDescent="0.3">
      <c r="A3" s="6" t="s">
        <v>5</v>
      </c>
      <c r="B3" s="5" t="s">
        <v>37</v>
      </c>
    </row>
    <row r="4" spans="1:2" x14ac:dyDescent="0.3">
      <c r="A4" s="5" t="s">
        <v>16</v>
      </c>
      <c r="B4" s="5">
        <v>2300</v>
      </c>
    </row>
    <row r="5" spans="1:2" x14ac:dyDescent="0.3">
      <c r="A5" s="5" t="s">
        <v>25</v>
      </c>
      <c r="B5" s="5">
        <v>2270</v>
      </c>
    </row>
    <row r="6" spans="1:2" x14ac:dyDescent="0.3">
      <c r="A6" s="5" t="s">
        <v>12</v>
      </c>
      <c r="B6" s="5">
        <v>2180</v>
      </c>
    </row>
    <row r="7" spans="1:2" x14ac:dyDescent="0.3">
      <c r="A7" s="5" t="s">
        <v>20</v>
      </c>
      <c r="B7" s="5">
        <v>1120</v>
      </c>
    </row>
    <row r="8" spans="1:2" x14ac:dyDescent="0.3">
      <c r="A8" s="5" t="s">
        <v>36</v>
      </c>
      <c r="B8" s="5">
        <v>7870</v>
      </c>
    </row>
    <row r="12" spans="1:2" x14ac:dyDescent="0.3">
      <c r="A12" s="5" t="s">
        <v>40</v>
      </c>
      <c r="B12" s="5" t="str">
        <f>INDEX(A4:A7,MATCH(MAX(B4:B7),B4:B7,0))</f>
        <v>Italian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58E9-DD1F-43B5-9F93-BCE4E3EF4401}">
  <dimension ref="A3:B11"/>
  <sheetViews>
    <sheetView workbookViewId="0">
      <selection activeCell="D22" sqref="D22"/>
    </sheetView>
  </sheetViews>
  <sheetFormatPr defaultRowHeight="14.4" x14ac:dyDescent="0.3"/>
  <cols>
    <col min="1" max="1" width="30.88671875" style="5" bestFit="1" customWidth="1"/>
    <col min="2" max="2" width="12.109375" style="5" bestFit="1" customWidth="1"/>
    <col min="3" max="3" width="6.33203125" style="5" bestFit="1" customWidth="1"/>
    <col min="4" max="4" width="6.21875" style="5" bestFit="1" customWidth="1"/>
    <col min="5" max="5" width="8.6640625" style="5" bestFit="1" customWidth="1"/>
    <col min="6" max="6" width="10.77734375" style="5" bestFit="1" customWidth="1"/>
    <col min="7" max="16384" width="8.88671875" style="5"/>
  </cols>
  <sheetData>
    <row r="3" spans="1:2" x14ac:dyDescent="0.3">
      <c r="A3" s="6" t="s">
        <v>5</v>
      </c>
      <c r="B3" s="5" t="s">
        <v>41</v>
      </c>
    </row>
    <row r="4" spans="1:2" x14ac:dyDescent="0.3">
      <c r="A4" s="5" t="s">
        <v>12</v>
      </c>
      <c r="B4" s="5">
        <v>6</v>
      </c>
    </row>
    <row r="5" spans="1:2" x14ac:dyDescent="0.3">
      <c r="A5" s="5" t="s">
        <v>20</v>
      </c>
      <c r="B5" s="5">
        <v>4</v>
      </c>
    </row>
    <row r="6" spans="1:2" x14ac:dyDescent="0.3">
      <c r="A6" s="5" t="s">
        <v>16</v>
      </c>
      <c r="B6" s="5">
        <v>4</v>
      </c>
    </row>
    <row r="7" spans="1:2" x14ac:dyDescent="0.3">
      <c r="A7" s="5" t="s">
        <v>25</v>
      </c>
      <c r="B7" s="5">
        <v>3</v>
      </c>
    </row>
    <row r="8" spans="1:2" x14ac:dyDescent="0.3">
      <c r="A8" s="5" t="s">
        <v>36</v>
      </c>
      <c r="B8" s="5">
        <v>17</v>
      </c>
    </row>
    <row r="11" spans="1:2" x14ac:dyDescent="0.3">
      <c r="A11" s="5" t="s">
        <v>42</v>
      </c>
      <c r="B11" s="5" t="str">
        <f>INDEX(A4:A7,MATCH(MAX(B4:B7),B4:B7,0))</f>
        <v>Indian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4927-E59E-49DC-AA4C-63276EE5C56C}">
  <dimension ref="A3:B11"/>
  <sheetViews>
    <sheetView workbookViewId="0">
      <selection activeCell="H24" sqref="H24"/>
    </sheetView>
  </sheetViews>
  <sheetFormatPr defaultRowHeight="14.4" x14ac:dyDescent="0.3"/>
  <cols>
    <col min="1" max="1" width="26.5546875" style="5" bestFit="1" customWidth="1"/>
    <col min="2" max="2" width="12.109375" style="5" bestFit="1" customWidth="1"/>
    <col min="3" max="16384" width="8.88671875" style="5"/>
  </cols>
  <sheetData>
    <row r="3" spans="1:2" x14ac:dyDescent="0.3">
      <c r="A3" s="6" t="s">
        <v>3</v>
      </c>
      <c r="B3" s="5" t="s">
        <v>41</v>
      </c>
    </row>
    <row r="4" spans="1:2" x14ac:dyDescent="0.3">
      <c r="A4" s="5" t="s">
        <v>10</v>
      </c>
      <c r="B4" s="5">
        <v>6</v>
      </c>
    </row>
    <row r="5" spans="1:2" x14ac:dyDescent="0.3">
      <c r="A5" s="5" t="s">
        <v>18</v>
      </c>
      <c r="B5" s="5">
        <v>4</v>
      </c>
    </row>
    <row r="6" spans="1:2" x14ac:dyDescent="0.3">
      <c r="A6" s="5" t="s">
        <v>14</v>
      </c>
      <c r="B6" s="5">
        <v>4</v>
      </c>
    </row>
    <row r="7" spans="1:2" x14ac:dyDescent="0.3">
      <c r="A7" s="5" t="s">
        <v>23</v>
      </c>
      <c r="B7" s="5">
        <v>3</v>
      </c>
    </row>
    <row r="8" spans="1:2" x14ac:dyDescent="0.3">
      <c r="A8" s="5" t="s">
        <v>36</v>
      </c>
      <c r="B8" s="5">
        <v>17</v>
      </c>
    </row>
    <row r="11" spans="1:2" x14ac:dyDescent="0.3">
      <c r="A11" s="5" t="s">
        <v>43</v>
      </c>
      <c r="B11" s="5" t="str">
        <f>INDEX(A4:A7,MATCH(MAX(B4:B7),B4:B7,0))</f>
        <v>Delhi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2A73-0971-413E-8548-36013F0C8B6C}">
  <sheetPr codeName="Sheet1"/>
  <dimension ref="A1:P11"/>
  <sheetViews>
    <sheetView workbookViewId="0">
      <selection activeCell="L1" sqref="L1:P11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9.109375" bestFit="1" customWidth="1"/>
    <col min="4" max="4" width="9.77734375" bestFit="1" customWidth="1"/>
    <col min="5" max="5" width="11" bestFit="1" customWidth="1"/>
    <col min="7" max="7" width="5.6640625" bestFit="1" customWidth="1"/>
    <col min="8" max="8" width="9" bestFit="1" customWidth="1"/>
    <col min="9" max="9" width="10.6640625" bestFit="1" customWidth="1"/>
    <col min="10" max="10" width="12.5546875" bestFit="1" customWidth="1"/>
    <col min="12" max="12" width="15.88671875" bestFit="1" customWidth="1"/>
    <col min="13" max="13" width="5" style="5" bestFit="1" customWidth="1"/>
    <col min="15" max="15" width="17.88671875" bestFit="1" customWidth="1"/>
    <col min="16" max="16" width="2" style="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26</v>
      </c>
    </row>
    <row r="2" spans="1:10" x14ac:dyDescent="0.3">
      <c r="A2" s="2">
        <v>2001</v>
      </c>
      <c r="B2" s="3">
        <v>46054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350</v>
      </c>
      <c r="I2" s="2">
        <v>40</v>
      </c>
      <c r="J2" s="5">
        <f>(G2*H2)+I2</f>
        <v>740</v>
      </c>
    </row>
    <row r="3" spans="1:10" x14ac:dyDescent="0.3">
      <c r="A3" s="2">
        <v>2002</v>
      </c>
      <c r="B3" s="3">
        <v>46054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</v>
      </c>
      <c r="H3" s="2">
        <v>550</v>
      </c>
      <c r="I3" s="2">
        <v>50</v>
      </c>
      <c r="J3" s="5">
        <f>(G3*H3)+I3</f>
        <v>600</v>
      </c>
    </row>
    <row r="4" spans="1:10" x14ac:dyDescent="0.3">
      <c r="A4" s="2">
        <v>2003</v>
      </c>
      <c r="B4" s="3">
        <v>46055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3</v>
      </c>
      <c r="H4" s="2">
        <v>250</v>
      </c>
      <c r="I4" s="2">
        <v>35</v>
      </c>
      <c r="J4" s="5">
        <f>(G4*H4)+I4</f>
        <v>785</v>
      </c>
    </row>
    <row r="5" spans="1:10" x14ac:dyDescent="0.3">
      <c r="A5" s="2">
        <v>2004</v>
      </c>
      <c r="B5" s="3">
        <v>46055</v>
      </c>
      <c r="C5" s="2" t="s">
        <v>21</v>
      </c>
      <c r="D5" s="2" t="s">
        <v>10</v>
      </c>
      <c r="E5" s="2" t="s">
        <v>11</v>
      </c>
      <c r="F5" s="2" t="s">
        <v>12</v>
      </c>
      <c r="G5" s="2">
        <v>1</v>
      </c>
      <c r="H5" s="2">
        <v>400</v>
      </c>
      <c r="I5" s="2">
        <v>40</v>
      </c>
      <c r="J5" s="5">
        <f>(G5*H5)+I5</f>
        <v>440</v>
      </c>
    </row>
    <row r="6" spans="1:10" x14ac:dyDescent="0.3">
      <c r="A6" s="2">
        <v>2005</v>
      </c>
      <c r="B6" s="3">
        <v>46056</v>
      </c>
      <c r="C6" s="2" t="s">
        <v>22</v>
      </c>
      <c r="D6" s="2" t="s">
        <v>23</v>
      </c>
      <c r="E6" s="2" t="s">
        <v>24</v>
      </c>
      <c r="F6" s="2" t="s">
        <v>25</v>
      </c>
      <c r="G6" s="2">
        <v>2</v>
      </c>
      <c r="H6" s="2">
        <v>700</v>
      </c>
      <c r="I6" s="2">
        <v>60</v>
      </c>
      <c r="J6" s="5">
        <f>(G6*H6)+I6</f>
        <v>1460</v>
      </c>
    </row>
    <row r="7" spans="1:10" x14ac:dyDescent="0.3">
      <c r="A7" s="2">
        <v>2006</v>
      </c>
      <c r="B7" s="3">
        <v>46056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2</v>
      </c>
      <c r="H7" s="2">
        <v>500</v>
      </c>
      <c r="I7" s="2">
        <v>50</v>
      </c>
      <c r="J7" s="5">
        <f>(G7*H7)+I7</f>
        <v>1050</v>
      </c>
    </row>
    <row r="8" spans="1:10" x14ac:dyDescent="0.3">
      <c r="A8" s="2">
        <v>2007</v>
      </c>
      <c r="B8" s="3">
        <v>46057</v>
      </c>
      <c r="C8" s="2" t="s">
        <v>9</v>
      </c>
      <c r="D8" s="2" t="s">
        <v>18</v>
      </c>
      <c r="E8" s="2" t="s">
        <v>19</v>
      </c>
      <c r="F8" s="2" t="s">
        <v>20</v>
      </c>
      <c r="G8" s="2">
        <v>1</v>
      </c>
      <c r="H8" s="2">
        <v>300</v>
      </c>
      <c r="I8" s="2">
        <v>35</v>
      </c>
      <c r="J8" s="5">
        <f>(G8*H8)+I8</f>
        <v>335</v>
      </c>
    </row>
    <row r="9" spans="1:10" x14ac:dyDescent="0.3">
      <c r="A9" s="2">
        <v>2008</v>
      </c>
      <c r="B9" s="3">
        <v>46058</v>
      </c>
      <c r="C9" s="2" t="s">
        <v>21</v>
      </c>
      <c r="D9" s="2" t="s">
        <v>23</v>
      </c>
      <c r="E9" s="2" t="s">
        <v>24</v>
      </c>
      <c r="F9" s="2" t="s">
        <v>25</v>
      </c>
      <c r="G9" s="2">
        <v>1</v>
      </c>
      <c r="H9" s="2">
        <v>750</v>
      </c>
      <c r="I9" s="2">
        <v>60</v>
      </c>
      <c r="J9" s="5">
        <f>(G9*H9)+I9</f>
        <v>810</v>
      </c>
    </row>
    <row r="10" spans="1:10" x14ac:dyDescent="0.3">
      <c r="A10" s="2">
        <v>2009</v>
      </c>
      <c r="B10" s="3">
        <v>46058</v>
      </c>
      <c r="C10" s="2" t="s">
        <v>17</v>
      </c>
      <c r="D10" s="2" t="s">
        <v>10</v>
      </c>
      <c r="E10" s="2" t="s">
        <v>11</v>
      </c>
      <c r="F10" s="2" t="s">
        <v>12</v>
      </c>
      <c r="G10" s="2">
        <v>3</v>
      </c>
      <c r="H10" s="2">
        <v>320</v>
      </c>
      <c r="I10" s="2">
        <v>40</v>
      </c>
      <c r="J10" s="5">
        <f>(G10*H10)+I10</f>
        <v>1000</v>
      </c>
    </row>
    <row r="11" spans="1:10" x14ac:dyDescent="0.3">
      <c r="A11" s="2">
        <v>2010</v>
      </c>
      <c r="B11" s="3">
        <v>46059</v>
      </c>
      <c r="C11" s="2" t="s">
        <v>22</v>
      </c>
      <c r="D11" s="2" t="s">
        <v>14</v>
      </c>
      <c r="E11" s="2" t="s">
        <v>15</v>
      </c>
      <c r="F11" s="2" t="s">
        <v>16</v>
      </c>
      <c r="G11" s="2">
        <v>1</v>
      </c>
      <c r="H11" s="2">
        <v>600</v>
      </c>
      <c r="I11" s="2">
        <v>50</v>
      </c>
      <c r="J11" s="5">
        <f>(G11*H11)+I11</f>
        <v>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9BD6-EFCD-43C5-A95F-DF0E3FEB0415}">
  <dimension ref="A1:E11"/>
  <sheetViews>
    <sheetView tabSelected="1" workbookViewId="0">
      <selection activeCell="D15" sqref="D15"/>
    </sheetView>
  </sheetViews>
  <sheetFormatPr defaultRowHeight="14.4" x14ac:dyDescent="0.3"/>
  <cols>
    <col min="1" max="1" width="15.88671875" bestFit="1" customWidth="1"/>
    <col min="2" max="2" width="5.5546875" customWidth="1"/>
    <col min="4" max="4" width="17.88671875" bestFit="1" customWidth="1"/>
    <col min="5" max="5" width="4.6640625" customWidth="1"/>
  </cols>
  <sheetData>
    <row r="1" spans="1:5" x14ac:dyDescent="0.3">
      <c r="B1" s="5"/>
      <c r="E1" s="5"/>
    </row>
    <row r="2" spans="1:5" x14ac:dyDescent="0.3">
      <c r="A2" s="4" t="s">
        <v>27</v>
      </c>
      <c r="B2" s="5">
        <f>SUM(Dataset!J2:J11)</f>
        <v>7870</v>
      </c>
      <c r="D2" s="4" t="s">
        <v>32</v>
      </c>
      <c r="E2" s="5">
        <f>COUNTA(_xlfn.UNIQUE(Dataset!E2:E11))</f>
        <v>4</v>
      </c>
    </row>
    <row r="3" spans="1:5" x14ac:dyDescent="0.3">
      <c r="B3" s="5"/>
      <c r="E3" s="5"/>
    </row>
    <row r="4" spans="1:5" x14ac:dyDescent="0.3">
      <c r="A4" s="4" t="s">
        <v>28</v>
      </c>
      <c r="B4" s="5">
        <f>SUM(Dataset!I2:I11)</f>
        <v>460</v>
      </c>
      <c r="D4" s="4" t="s">
        <v>33</v>
      </c>
      <c r="E4" s="5">
        <f>COUNTA(_xlfn.UNIQUE(Dataset!D2:D11))</f>
        <v>4</v>
      </c>
    </row>
    <row r="5" spans="1:5" x14ac:dyDescent="0.3">
      <c r="B5" s="5"/>
      <c r="E5" s="5"/>
    </row>
    <row r="6" spans="1:5" x14ac:dyDescent="0.3">
      <c r="A6" s="4" t="s">
        <v>29</v>
      </c>
      <c r="B6" s="5">
        <f>SUM(Dataset!G2:G11)</f>
        <v>17</v>
      </c>
      <c r="D6" s="4" t="s">
        <v>34</v>
      </c>
      <c r="E6" s="5">
        <f>COUNTA(_xlfn.UNIQUE(Dataset!F2:F11))</f>
        <v>4</v>
      </c>
    </row>
    <row r="7" spans="1:5" x14ac:dyDescent="0.3">
      <c r="B7" s="5"/>
      <c r="E7" s="5"/>
    </row>
    <row r="8" spans="1:5" x14ac:dyDescent="0.3">
      <c r="A8" s="4" t="s">
        <v>30</v>
      </c>
      <c r="B8" s="5">
        <f>COUNT(Dataset!A2:A11)</f>
        <v>10</v>
      </c>
      <c r="D8" s="4" t="s">
        <v>35</v>
      </c>
      <c r="E8" s="5">
        <f>COUNTA(_xlfn.UNIQUE(Dataset!B2:B11))</f>
        <v>6</v>
      </c>
    </row>
    <row r="9" spans="1:5" x14ac:dyDescent="0.3">
      <c r="B9" s="5"/>
      <c r="E9" s="5"/>
    </row>
    <row r="10" spans="1:5" x14ac:dyDescent="0.3">
      <c r="A10" s="4" t="s">
        <v>31</v>
      </c>
      <c r="B10" s="5">
        <f>COUNTA(_xlfn.UNIQUE(Dataset!C2:C11))</f>
        <v>5</v>
      </c>
      <c r="E10" s="5"/>
    </row>
    <row r="11" spans="1:5" x14ac:dyDescent="0.3">
      <c r="B11" s="5"/>
      <c r="E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Amount by Restaurant</vt:lpstr>
      <vt:lpstr>City with Highest Total Amount</vt:lpstr>
      <vt:lpstr>Total Amount by Category</vt:lpstr>
      <vt:lpstr>Orders by Category</vt:lpstr>
      <vt:lpstr>Orders by City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2026-03-18T04:01:41Z</dcterms:created>
  <dcterms:modified xsi:type="dcterms:W3CDTF">2026-03-18T08:01:31Z</dcterms:modified>
</cp:coreProperties>
</file>